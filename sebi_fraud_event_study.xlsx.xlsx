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ROJECT\FRAUD ANALYST\"/>
    </mc:Choice>
  </mc:AlternateContent>
  <bookViews>
    <workbookView xWindow="0" yWindow="0" windowWidth="20490" windowHeight="7530" tabRatio="500" firstSheet="2" activeTab="2"/>
  </bookViews>
  <sheets>
    <sheet name="Project Overview" sheetId="1" r:id="rId1"/>
    <sheet name="Data Tables" sheetId="2" r:id="rId2"/>
    <sheet name="Calculations" sheetId="3" r:id="rId3"/>
    <sheet name="Result" sheetId="4" r:id="rId4"/>
    <sheet name="Chart" sheetId="5" r:id="rId5"/>
  </sheets>
  <calcPr calcId="162913" iterateDelta="1E-4"/>
</workbook>
</file>

<file path=xl/calcChain.xml><?xml version="1.0" encoding="utf-8"?>
<calcChain xmlns="http://schemas.openxmlformats.org/spreadsheetml/2006/main">
  <c r="C23" i="3" l="1"/>
  <c r="B3" i="4" l="1"/>
  <c r="B4" i="4"/>
  <c r="C24" i="3"/>
  <c r="C22" i="3"/>
  <c r="C21" i="3"/>
  <c r="B8" i="4"/>
  <c r="B7" i="4"/>
  <c r="B6" i="4"/>
  <c r="B5" i="4"/>
</calcChain>
</file>

<file path=xl/sharedStrings.xml><?xml version="1.0" encoding="utf-8"?>
<sst xmlns="http://schemas.openxmlformats.org/spreadsheetml/2006/main" count="150" uniqueCount="129">
  <si>
    <t>Social Media-Driven Pump-and-Dump Manipulation in Stock Market:
A Fraud Analysis Study</t>
  </si>
  <si>
    <t>CASE STUDY SELECTED</t>
  </si>
  <si>
    <t>Hemant Gupta "Fin-fluencer Family" Scam  |  SEBI Interim Order, May 2026</t>
  </si>
  <si>
    <t>OBJECTIVE</t>
  </si>
  <si>
    <t>To analyze how social media platforms such as Telegram, WhatsApp, and X (Twitter) were used to influence stock prices and trading activity, resulting in alleged market manipulation and investor losses.</t>
  </si>
  <si>
    <t>DATA SOURCE TYPE</t>
  </si>
  <si>
    <t>Secondary Data  –  Primary Source: SEBI Interim Order</t>
  </si>
  <si>
    <t>DOCUMENT REFERENCE DETAILS</t>
  </si>
  <si>
    <t>Document Name</t>
  </si>
  <si>
    <t>Interim Order in the Matter of Trading in Certain Scrips Through Stock Recommendations Given on Social Media Platforms</t>
  </si>
  <si>
    <t>Regulatory Authority</t>
  </si>
  <si>
    <t>Securities and Exchange Board of India (SEBI)</t>
  </si>
  <si>
    <t>Reference Link</t>
  </si>
  <si>
    <t>https://www.sebi.gov.in</t>
  </si>
  <si>
    <t>Source Document</t>
  </si>
  <si>
    <t>SEBI Interim Order (May 2026) – Trading in Certain Scrips Through Stock Recommendations Given on Social Media Platforms</t>
  </si>
  <si>
    <t>Parameter</t>
  </si>
  <si>
    <t>Value</t>
  </si>
  <si>
    <t>Case Name</t>
  </si>
  <si>
    <t>Hemant Gupta "Fin-fluencer Family" Scam</t>
  </si>
  <si>
    <t>Regulator</t>
  </si>
  <si>
    <t>SEBI (Securities and Exchange Board of India)</t>
  </si>
  <si>
    <t>Order Date</t>
  </si>
  <si>
    <t>May 2026</t>
  </si>
  <si>
    <t>Total Wrongful Gains Impounded</t>
  </si>
  <si>
    <t>₹20.25 Crore</t>
  </si>
  <si>
    <t>Number of Stocks Impacted</t>
  </si>
  <si>
    <t>82 Scrips</t>
  </si>
  <si>
    <t>Number of Operators Involved</t>
  </si>
  <si>
    <t>7</t>
  </si>
  <si>
    <t>Social Media Posts Examined</t>
  </si>
  <si>
    <t>537 Posts</t>
  </si>
  <si>
    <t>Gross Trading Value – Before Scheme</t>
  </si>
  <si>
    <t>₹548 Crore</t>
  </si>
  <si>
    <t>Gross Trading Value – During Scheme</t>
  </si>
  <si>
    <t>₹1,023 Crore</t>
  </si>
  <si>
    <t>Increase in Trading Activity</t>
  </si>
  <si>
    <t>86%</t>
  </si>
  <si>
    <t>Trading Day</t>
  </si>
  <si>
    <t>Date</t>
  </si>
  <si>
    <t>Event / Activity</t>
  </si>
  <si>
    <t>T − 3</t>
  </si>
  <si>
    <t>26-Jul-2025</t>
  </si>
  <si>
    <t>Pre-Promotion Period</t>
  </si>
  <si>
    <t>T − 2</t>
  </si>
  <si>
    <t>27-Jul-2025</t>
  </si>
  <si>
    <t>T − 1</t>
  </si>
  <si>
    <t>28-Jul-2025</t>
  </si>
  <si>
    <t>Initial Recommendation Activity</t>
  </si>
  <si>
    <t>T</t>
  </si>
  <si>
    <t>29-Jul-2025</t>
  </si>
  <si>
    <t>X Post + WhatsApp + Telegram Dissemination (10:33 AM)</t>
  </si>
  <si>
    <t>T + 1</t>
  </si>
  <si>
    <t>30-Jul-2025</t>
  </si>
  <si>
    <t>Telegram Promotion Continues</t>
  </si>
  <si>
    <t>T + 2</t>
  </si>
  <si>
    <t>31-Jul-2025</t>
  </si>
  <si>
    <t>"Today try to sell Afcom" – Exit Message</t>
  </si>
  <si>
    <t>T + 3</t>
  </si>
  <si>
    <t>01-Aug-2025</t>
  </si>
  <si>
    <t>Post-Recommendation Period / Crash Phase</t>
  </si>
  <si>
    <t>Stock Price (₹)</t>
  </si>
  <si>
    <t>Daily Trading Volume (Shares)</t>
  </si>
  <si>
    <t>Phase Label</t>
  </si>
  <si>
    <t>Total Illicit Gains Confiscated</t>
  </si>
  <si>
    <t>₹20.25 Crores</t>
  </si>
  <si>
    <t>Number of Impacted Scrips (Stocks)</t>
  </si>
  <si>
    <t>82</t>
  </si>
  <si>
    <t>Total Operators Implicated</t>
  </si>
  <si>
    <t>₹548 Crores</t>
  </si>
  <si>
    <t>₹1,023 Crores</t>
  </si>
  <si>
    <t>12-May</t>
  </si>
  <si>
    <t>Accumulation (Scammers buy quietly)</t>
  </si>
  <si>
    <t>13-May</t>
  </si>
  <si>
    <t>Accumulation</t>
  </si>
  <si>
    <t>14-May</t>
  </si>
  <si>
    <t>15-May</t>
  </si>
  <si>
    <t>Pump (Telegram Alert Drops)</t>
  </si>
  <si>
    <t>18-May</t>
  </si>
  <si>
    <t>Retail FOMO Buying</t>
  </si>
  <si>
    <t>19-May</t>
  </si>
  <si>
    <t>Dump (Scammers Exit Completely)</t>
  </si>
  <si>
    <t>20-May</t>
  </si>
  <si>
    <t>Crash / Post-Dump Liquidity Trap</t>
  </si>
  <si>
    <t>STEP 3: Excel Calculations &amp; Results</t>
  </si>
  <si>
    <t>Metric</t>
  </si>
  <si>
    <t>Average Base Volume (Pre-Pump)</t>
  </si>
  <si>
    <t>Pump Volume Peak</t>
  </si>
  <si>
    <t>Percentage Volume Spike</t>
  </si>
  <si>
    <t>Retail Investor Loss % (Peak→Crash)</t>
  </si>
  <si>
    <t>Interpretation</t>
  </si>
  <si>
    <t>Average Base Volume</t>
  </si>
  <si>
    <t>Shares/day before manipulation</t>
  </si>
  <si>
    <t>Peak Volume</t>
  </si>
  <si>
    <t>Highest volume during pump</t>
  </si>
  <si>
    <t>Volume Spike %</t>
  </si>
  <si>
    <t>Trading volume surge post-Telegram alert</t>
  </si>
  <si>
    <t>Peak Price (₹)</t>
  </si>
  <si>
    <t>Price at maximum pump (T+1)</t>
  </si>
  <si>
    <t>Crash Price (₹)</t>
  </si>
  <si>
    <t>Price after dump (T+3)</t>
  </si>
  <si>
    <t>Retail Investor Loss</t>
  </si>
  <si>
    <t>Loss suffered by retail investors buying at peak</t>
  </si>
  <si>
    <t>Event Study Timeline  |  Afcom Holdings Ltd  (T = 29 July 2025)</t>
  </si>
  <si>
    <t>Fraud Summary Table  |  Hemant Gupta "Fin-fluencer Family" Scam</t>
  </si>
  <si>
    <t xml:space="preserve"> Fraud Macro Metrics</t>
  </si>
  <si>
    <t>Event Study Timeline – Stock Price &amp; Volume Data</t>
  </si>
  <si>
    <t xml:space="preserve">Peak Price (T+1) </t>
  </si>
  <si>
    <t>Crash Price (T+3)</t>
  </si>
  <si>
    <t>Stage</t>
  </si>
  <si>
    <t>After Dump</t>
  </si>
  <si>
    <t>Retail Investor Loss Chart</t>
  </si>
  <si>
    <t>Peak</t>
  </si>
  <si>
    <t>Before Pump</t>
  </si>
  <si>
    <t>Retail investors who purchased shares at the peak price of ₹80 experienced a loss of approximately 62.5% when the stock price fell to ₹30 after the dump phase</t>
  </si>
  <si>
    <t>Platform</t>
  </si>
  <si>
    <t>Share</t>
  </si>
  <si>
    <t>Telegram</t>
  </si>
  <si>
    <t>WhatsApp</t>
  </si>
  <si>
    <t>X (Twitter)</t>
  </si>
  <si>
    <t>Fraud Communication Channels Pie Chart</t>
  </si>
  <si>
    <t>Phase</t>
  </si>
  <si>
    <t>Volume (Shares)</t>
  </si>
  <si>
    <t>Pump</t>
  </si>
  <si>
    <t>Retail FOMO</t>
  </si>
  <si>
    <t>Dump</t>
  </si>
  <si>
    <t>Crash</t>
  </si>
  <si>
    <t>Fraud Lifecycle Volume Analysis</t>
  </si>
  <si>
    <t>FINAL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</si>
</sst>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"/>
  </numFmts>
  <fonts count="14" x14ac:knownFonts="1">
    <font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0563C1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rgb="FF0563C1"/>
      </patternFill>
    </fill>
    <fill>
      <patternFill patternType="solid">
        <fgColor theme="0"/>
        <bgColor rgb="FFFF9900"/>
      </patternFill>
    </fill>
    <fill>
      <patternFill patternType="solid">
        <fgColor theme="8" tint="0.79998168889431442"/>
        <bgColor rgb="FF0563C1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4" tint="0.59999389629810485"/>
        <bgColor rgb="FF333333"/>
      </patternFill>
    </fill>
    <fill>
      <patternFill patternType="solid">
        <fgColor theme="4" tint="-0.249977111117893"/>
        <bgColor rgb="FFF2F2F2"/>
      </patternFill>
    </fill>
    <fill>
      <patternFill patternType="solid">
        <fgColor theme="4" tint="-0.499984740745262"/>
        <bgColor rgb="FFFF9900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 indent="1"/>
    </xf>
    <xf numFmtId="0" fontId="1" fillId="4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 indent="1"/>
    </xf>
    <xf numFmtId="0" fontId="1" fillId="6" borderId="6" xfId="0" applyFont="1" applyFill="1" applyBorder="1" applyAlignment="1">
      <alignment horizontal="left" vertical="center" indent="1"/>
    </xf>
    <xf numFmtId="0" fontId="3" fillId="5" borderId="7" xfId="1" applyFill="1" applyBorder="1" applyAlignment="1">
      <alignment horizontal="left" vertical="center" wrapText="1" indent="1"/>
    </xf>
    <xf numFmtId="0" fontId="1" fillId="6" borderId="9" xfId="0" applyFont="1" applyFill="1" applyBorder="1" applyAlignment="1">
      <alignment horizontal="left" vertical="center" indent="1"/>
    </xf>
    <xf numFmtId="0" fontId="2" fillId="5" borderId="10" xfId="0" applyFont="1" applyFill="1" applyBorder="1" applyAlignment="1">
      <alignment horizontal="left" vertical="center" wrapText="1" indent="1"/>
    </xf>
    <xf numFmtId="0" fontId="1" fillId="4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indent="1"/>
    </xf>
    <xf numFmtId="0" fontId="5" fillId="5" borderId="10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indent="1"/>
    </xf>
    <xf numFmtId="0" fontId="6" fillId="7" borderId="6" xfId="0" applyFont="1" applyFill="1" applyBorder="1" applyAlignment="1">
      <alignment horizontal="left" vertical="center" indent="1"/>
    </xf>
    <xf numFmtId="10" fontId="5" fillId="5" borderId="7" xfId="2" applyNumberFormat="1" applyFont="1" applyFill="1" applyBorder="1" applyAlignment="1">
      <alignment horizontal="center" vertical="center"/>
    </xf>
    <xf numFmtId="10" fontId="5" fillId="7" borderId="7" xfId="2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Font="1" applyBorder="1" applyAlignment="1">
      <alignment horizontal="left" vertical="center"/>
    </xf>
    <xf numFmtId="0" fontId="0" fillId="0" borderId="18" xfId="0" applyBorder="1"/>
    <xf numFmtId="3" fontId="5" fillId="7" borderId="1" xfId="0" applyNumberFormat="1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left" vertical="center"/>
    </xf>
    <xf numFmtId="10" fontId="5" fillId="7" borderId="12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2" fillId="14" borderId="6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NumberFormat="1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NumberFormat="1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DD7EE"/>
      <rgbColor rgb="FFFF99CC"/>
      <rgbColor rgb="FFCC99FF"/>
      <rgbColor rgb="FFFFE0E0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and Volume Analysis of Social Media-Induced Pump-and-Dump Scheme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Calculations!$C$11</c:f>
              <c:strCache>
                <c:ptCount val="1"/>
                <c:pt idx="0">
                  <c:v>Stock Price (₹)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Calculations!$A$12:$B$18</c:f>
              <c:multiLvlStrCache>
                <c:ptCount val="7"/>
                <c:lvl>
                  <c:pt idx="0">
                    <c:v>12-May</c:v>
                  </c:pt>
                  <c:pt idx="1">
                    <c:v>13-May</c:v>
                  </c:pt>
                  <c:pt idx="2">
                    <c:v>14-May</c:v>
                  </c:pt>
                  <c:pt idx="3">
                    <c:v>15-May</c:v>
                  </c:pt>
                  <c:pt idx="4">
                    <c:v>18-May</c:v>
                  </c:pt>
                  <c:pt idx="5">
                    <c:v>19-May</c:v>
                  </c:pt>
                  <c:pt idx="6">
                    <c:v>20-May</c:v>
                  </c:pt>
                </c:lvl>
                <c:lvl>
                  <c:pt idx="0">
                    <c:v>T − 3</c:v>
                  </c:pt>
                  <c:pt idx="1">
                    <c:v>T − 2</c:v>
                  </c:pt>
                  <c:pt idx="2">
                    <c:v>T − 1</c:v>
                  </c:pt>
                  <c:pt idx="3">
                    <c:v>T</c:v>
                  </c:pt>
                  <c:pt idx="4">
                    <c:v>T + 1</c:v>
                  </c:pt>
                  <c:pt idx="5">
                    <c:v>T + 2</c:v>
                  </c:pt>
                  <c:pt idx="6">
                    <c:v>T + 3</c:v>
                  </c:pt>
                </c:lvl>
              </c:multiLvlStrCache>
            </c:multiLvlStrRef>
          </c:cat>
          <c:val>
            <c:numRef>
              <c:f>Calculations!$C$12:$C$18</c:f>
              <c:numCache>
                <c:formatCode>General</c:formatCode>
                <c:ptCount val="7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65</c:v>
                </c:pt>
                <c:pt idx="4">
                  <c:v>80</c:v>
                </c:pt>
                <c:pt idx="5">
                  <c:v>52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B-40CB-95B6-E8B8BC8834E9}"/>
            </c:ext>
          </c:extLst>
        </c:ser>
        <c:ser>
          <c:idx val="1"/>
          <c:order val="1"/>
          <c:tx>
            <c:strRef>
              <c:f>Calculations!$D$11</c:f>
              <c:strCache>
                <c:ptCount val="1"/>
                <c:pt idx="0">
                  <c:v>Daily Trading Volume (Shares)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Calculations!$A$12:$B$18</c:f>
              <c:multiLvlStrCache>
                <c:ptCount val="7"/>
                <c:lvl>
                  <c:pt idx="0">
                    <c:v>12-May</c:v>
                  </c:pt>
                  <c:pt idx="1">
                    <c:v>13-May</c:v>
                  </c:pt>
                  <c:pt idx="2">
                    <c:v>14-May</c:v>
                  </c:pt>
                  <c:pt idx="3">
                    <c:v>15-May</c:v>
                  </c:pt>
                  <c:pt idx="4">
                    <c:v>18-May</c:v>
                  </c:pt>
                  <c:pt idx="5">
                    <c:v>19-May</c:v>
                  </c:pt>
                  <c:pt idx="6">
                    <c:v>20-May</c:v>
                  </c:pt>
                </c:lvl>
                <c:lvl>
                  <c:pt idx="0">
                    <c:v>T − 3</c:v>
                  </c:pt>
                  <c:pt idx="1">
                    <c:v>T − 2</c:v>
                  </c:pt>
                  <c:pt idx="2">
                    <c:v>T − 1</c:v>
                  </c:pt>
                  <c:pt idx="3">
                    <c:v>T</c:v>
                  </c:pt>
                  <c:pt idx="4">
                    <c:v>T + 1</c:v>
                  </c:pt>
                  <c:pt idx="5">
                    <c:v>T + 2</c:v>
                  </c:pt>
                  <c:pt idx="6">
                    <c:v>T + 3</c:v>
                  </c:pt>
                </c:lvl>
              </c:multiLvlStrCache>
            </c:multiLvlStrRef>
          </c:cat>
          <c:val>
            <c:numRef>
              <c:f>Calculations!$D$12:$D$18</c:f>
              <c:numCache>
                <c:formatCode>General</c:formatCode>
                <c:ptCount val="7"/>
                <c:pt idx="0">
                  <c:v>10000</c:v>
                </c:pt>
                <c:pt idx="1">
                  <c:v>12000</c:v>
                </c:pt>
                <c:pt idx="2">
                  <c:v>9500</c:v>
                </c:pt>
                <c:pt idx="3">
                  <c:v>180000</c:v>
                </c:pt>
                <c:pt idx="4">
                  <c:v>250000</c:v>
                </c:pt>
                <c:pt idx="5">
                  <c:v>310000</c:v>
                </c:pt>
                <c:pt idx="6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B-40CB-95B6-E8B8BC883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64824"/>
        <c:axId val="394165152"/>
      </c:barChart>
      <c:catAx>
        <c:axId val="394164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Volume (Shares)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65152"/>
        <c:crosses val="autoZero"/>
        <c:auto val="1"/>
        <c:lblAlgn val="ctr"/>
        <c:lblOffset val="100"/>
        <c:noMultiLvlLbl val="0"/>
      </c:catAx>
      <c:valAx>
        <c:axId val="394165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(₹)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6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Retail Investor Loss Following Pump-and-Dump Manipulation</a:t>
            </a:r>
            <a:endParaRPr lang="en-US"/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Result!$B$25</c:f>
              <c:strCache>
                <c:ptCount val="1"/>
                <c:pt idx="0">
                  <c:v>Stock Price (₹)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Result!$A$26:$A$28</c:f>
              <c:strCache>
                <c:ptCount val="3"/>
                <c:pt idx="0">
                  <c:v>Before Pump</c:v>
                </c:pt>
                <c:pt idx="1">
                  <c:v>Peak</c:v>
                </c:pt>
                <c:pt idx="2">
                  <c:v>After Dump</c:v>
                </c:pt>
              </c:strCache>
            </c:strRef>
          </c:cat>
          <c:val>
            <c:numRef>
              <c:f>Result!$B$26:$B$28</c:f>
              <c:numCache>
                <c:formatCode>General</c:formatCode>
                <c:ptCount val="3"/>
                <c:pt idx="0">
                  <c:v>45</c:v>
                </c:pt>
                <c:pt idx="1">
                  <c:v>80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A-4557-9BE6-89A9CC97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484016"/>
        <c:axId val="387483688"/>
      </c:barChart>
      <c:catAx>
        <c:axId val="38748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83688"/>
        <c:crosses val="autoZero"/>
        <c:auto val="1"/>
        <c:lblAlgn val="ctr"/>
        <c:lblOffset val="100"/>
        <c:noMultiLvlLbl val="0"/>
      </c:catAx>
      <c:valAx>
        <c:axId val="38748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(₹)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8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Fraud Communication Channels Used in Stock Manipulation Schemes</a:t>
            </a:r>
            <a:endParaRPr lang="en-US"/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Result!$B$32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47-44F9-B0DC-7B825B58596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47-44F9-B0DC-7B825B585960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47-44F9-B0DC-7B825B585960}"/>
              </c:ext>
            </c:extLst>
          </c:dPt>
          <c:cat>
            <c:strRef>
              <c:f>Result!$A$33:$A$35</c:f>
              <c:strCache>
                <c:ptCount val="3"/>
                <c:pt idx="0">
                  <c:v>Telegram</c:v>
                </c:pt>
                <c:pt idx="1">
                  <c:v>WhatsApp</c:v>
                </c:pt>
                <c:pt idx="2">
                  <c:v>X (Twitter)</c:v>
                </c:pt>
              </c:strCache>
            </c:strRef>
          </c:cat>
          <c:val>
            <c:numRef>
              <c:f>Result!$B$33:$B$35</c:f>
              <c:numCache>
                <c:formatCode>0%</c:formatCode>
                <c:ptCount val="3"/>
                <c:pt idx="0">
                  <c:v>0.7</c:v>
                </c:pt>
                <c:pt idx="1">
                  <c:v>0.2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7-44F9-B0DC-7B825B585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>
          <a:alpha val="20000"/>
        </a:schemeClr>
      </a:solidFill>
      <a:prstDash val="sys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Trading Volume Across Fraud Lifecycle Stages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Result!$B$38</c:f>
              <c:strCache>
                <c:ptCount val="1"/>
                <c:pt idx="0">
                  <c:v>Volume (Shares)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Result!$A$39:$A$43</c:f>
              <c:strCache>
                <c:ptCount val="5"/>
                <c:pt idx="0">
                  <c:v>Accumulation</c:v>
                </c:pt>
                <c:pt idx="1">
                  <c:v>Pump</c:v>
                </c:pt>
                <c:pt idx="2">
                  <c:v>Retail FOMO</c:v>
                </c:pt>
                <c:pt idx="3">
                  <c:v>Dump</c:v>
                </c:pt>
                <c:pt idx="4">
                  <c:v>Crash</c:v>
                </c:pt>
              </c:strCache>
            </c:strRef>
          </c:cat>
          <c:val>
            <c:numRef>
              <c:f>Result!$B$39:$B$43</c:f>
              <c:numCache>
                <c:formatCode>#,##0</c:formatCode>
                <c:ptCount val="5"/>
                <c:pt idx="0">
                  <c:v>10500</c:v>
                </c:pt>
                <c:pt idx="1">
                  <c:v>180000</c:v>
                </c:pt>
                <c:pt idx="2">
                  <c:v>250000</c:v>
                </c:pt>
                <c:pt idx="3">
                  <c:v>310000</c:v>
                </c:pt>
                <c:pt idx="4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9-4265-95BF-DEB048E729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3324736"/>
        <c:axId val="423321784"/>
      </c:lineChart>
      <c:catAx>
        <c:axId val="42332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Fraud Lifecycle Phase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21784"/>
        <c:crosses val="autoZero"/>
        <c:auto val="1"/>
        <c:lblAlgn val="ctr"/>
        <c:lblOffset val="100"/>
        <c:noMultiLvlLbl val="0"/>
      </c:catAx>
      <c:valAx>
        <c:axId val="42332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Volume (Shares)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2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44824</xdr:colOff>
      <xdr:row>4</xdr:row>
      <xdr:rowOff>28576</xdr:rowOff>
    </xdr:to>
    <xdr:sp macro="" textlink="">
      <xdr:nvSpPr>
        <xdr:cNvPr id="2" name="Rectangle 1"/>
        <xdr:cNvSpPr/>
      </xdr:nvSpPr>
      <xdr:spPr>
        <a:xfrm>
          <a:off x="0" y="0"/>
          <a:ext cx="9726706" cy="790576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0</xdr:row>
      <xdr:rowOff>142875</xdr:rowOff>
    </xdr:from>
    <xdr:to>
      <xdr:col>3</xdr:col>
      <xdr:colOff>104775</xdr:colOff>
      <xdr:row>3</xdr:row>
      <xdr:rowOff>66675</xdr:rowOff>
    </xdr:to>
    <xdr:sp macro="" textlink="">
      <xdr:nvSpPr>
        <xdr:cNvPr id="4" name="Rounded Rectangle 3"/>
        <xdr:cNvSpPr/>
      </xdr:nvSpPr>
      <xdr:spPr>
        <a:xfrm>
          <a:off x="152400" y="142875"/>
          <a:ext cx="1781175" cy="4953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Total Illegal Gains</a:t>
          </a:r>
        </a:p>
        <a:p>
          <a:pPr algn="ctr"/>
          <a:r>
            <a:rPr lang="en-US" b="1"/>
            <a:t>₹20.25 Cr</a:t>
          </a:r>
          <a:endParaRPr lang="en-US" sz="1100" b="1"/>
        </a:p>
      </xdr:txBody>
    </xdr:sp>
    <xdr:clientData/>
  </xdr:twoCellAnchor>
  <xdr:twoCellAnchor>
    <xdr:from>
      <xdr:col>3</xdr:col>
      <xdr:colOff>400050</xdr:colOff>
      <xdr:row>0</xdr:row>
      <xdr:rowOff>152400</xdr:rowOff>
    </xdr:from>
    <xdr:to>
      <xdr:col>6</xdr:col>
      <xdr:colOff>352425</xdr:colOff>
      <xdr:row>3</xdr:row>
      <xdr:rowOff>76200</xdr:rowOff>
    </xdr:to>
    <xdr:sp macro="" textlink="">
      <xdr:nvSpPr>
        <xdr:cNvPr id="5" name="Rounded Rectangle 4"/>
        <xdr:cNvSpPr/>
      </xdr:nvSpPr>
      <xdr:spPr>
        <a:xfrm>
          <a:off x="2228850" y="152400"/>
          <a:ext cx="1781175" cy="4953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b="1"/>
            <a:t>Stocks Manipulated</a:t>
          </a:r>
        </a:p>
        <a:p>
          <a:pPr marL="0" indent="0"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82</a:t>
          </a:r>
        </a:p>
      </xdr:txBody>
    </xdr:sp>
    <xdr:clientData/>
  </xdr:twoCellAnchor>
  <xdr:twoCellAnchor>
    <xdr:from>
      <xdr:col>7</xdr:col>
      <xdr:colOff>123825</xdr:colOff>
      <xdr:row>0</xdr:row>
      <xdr:rowOff>161925</xdr:rowOff>
    </xdr:from>
    <xdr:to>
      <xdr:col>10</xdr:col>
      <xdr:colOff>76200</xdr:colOff>
      <xdr:row>3</xdr:row>
      <xdr:rowOff>85725</xdr:rowOff>
    </xdr:to>
    <xdr:sp macro="" textlink="">
      <xdr:nvSpPr>
        <xdr:cNvPr id="7" name="Rounded Rectangle 6"/>
        <xdr:cNvSpPr/>
      </xdr:nvSpPr>
      <xdr:spPr>
        <a:xfrm>
          <a:off x="4391025" y="161925"/>
          <a:ext cx="1781175" cy="4953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b="1"/>
            <a:t>Operators Involved</a:t>
          </a:r>
        </a:p>
        <a:p>
          <a:pPr marL="0" indent="0"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10</xdr:col>
      <xdr:colOff>409575</xdr:colOff>
      <xdr:row>0</xdr:row>
      <xdr:rowOff>161925</xdr:rowOff>
    </xdr:from>
    <xdr:to>
      <xdr:col>13</xdr:col>
      <xdr:colOff>361950</xdr:colOff>
      <xdr:row>3</xdr:row>
      <xdr:rowOff>85725</xdr:rowOff>
    </xdr:to>
    <xdr:sp macro="" textlink="">
      <xdr:nvSpPr>
        <xdr:cNvPr id="8" name="Rounded Rectangle 7"/>
        <xdr:cNvSpPr/>
      </xdr:nvSpPr>
      <xdr:spPr>
        <a:xfrm>
          <a:off x="6505575" y="161925"/>
          <a:ext cx="1781175" cy="495300"/>
        </a:xfrm>
        <a:prstGeom prst="roundRect">
          <a:avLst/>
        </a:prstGeom>
        <a:gradFill>
          <a:gsLst>
            <a:gs pos="15050">
              <a:srgbClr val="C9DFE8"/>
            </a:gs>
            <a:gs pos="0">
              <a:schemeClr val="accent5">
                <a:tint val="50000"/>
              </a:schemeClr>
            </a:gs>
            <a:gs pos="35000">
              <a:schemeClr val="accent5">
                <a:tint val="37000"/>
              </a:schemeClr>
            </a:gs>
            <a:gs pos="100000">
              <a:schemeClr val="accent5">
                <a:tint val="15000"/>
              </a:schemeClr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b="1"/>
            <a:t>Trading Activity Increase</a:t>
          </a:r>
        </a:p>
        <a:p>
          <a:pPr marL="0" indent="0"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86%</a:t>
          </a:r>
        </a:p>
      </xdr:txBody>
    </xdr:sp>
    <xdr:clientData/>
  </xdr:twoCellAnchor>
  <xdr:twoCellAnchor>
    <xdr:from>
      <xdr:col>0</xdr:col>
      <xdr:colOff>19050</xdr:colOff>
      <xdr:row>4</xdr:row>
      <xdr:rowOff>38100</xdr:rowOff>
    </xdr:from>
    <xdr:to>
      <xdr:col>16</xdr:col>
      <xdr:colOff>100853</xdr:colOff>
      <xdr:row>36</xdr:row>
      <xdr:rowOff>112059</xdr:rowOff>
    </xdr:to>
    <xdr:sp macro="" textlink="">
      <xdr:nvSpPr>
        <xdr:cNvPr id="10" name="Rectangle 9"/>
        <xdr:cNvSpPr/>
      </xdr:nvSpPr>
      <xdr:spPr>
        <a:xfrm>
          <a:off x="19050" y="800100"/>
          <a:ext cx="9763685" cy="6169959"/>
        </a:xfrm>
        <a:prstGeom prst="rect">
          <a:avLst/>
        </a:prstGeom>
        <a:solidFill>
          <a:schemeClr val="l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4</xdr:row>
      <xdr:rowOff>38100</xdr:rowOff>
    </xdr:from>
    <xdr:to>
      <xdr:col>7</xdr:col>
      <xdr:colOff>323850</xdr:colOff>
      <xdr:row>18</xdr:row>
      <xdr:rowOff>114300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95250</xdr:rowOff>
    </xdr:from>
    <xdr:to>
      <xdr:col>7</xdr:col>
      <xdr:colOff>304800</xdr:colOff>
      <xdr:row>33</xdr:row>
      <xdr:rowOff>171450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93010</xdr:colOff>
      <xdr:row>4</xdr:row>
      <xdr:rowOff>56030</xdr:rowOff>
    </xdr:from>
    <xdr:to>
      <xdr:col>15</xdr:col>
      <xdr:colOff>397810</xdr:colOff>
      <xdr:row>18</xdr:row>
      <xdr:rowOff>132230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119903</xdr:colOff>
      <xdr:row>20</xdr:row>
      <xdr:rowOff>138953</xdr:rowOff>
    </xdr:from>
    <xdr:to>
      <xdr:col>15</xdr:col>
      <xdr:colOff>456079</xdr:colOff>
      <xdr:row>35</xdr:row>
      <xdr:rowOff>24653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bi.gov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B1" zoomScaleNormal="100" workbookViewId="0">
      <selection activeCell="C7" sqref="C7"/>
    </sheetView>
  </sheetViews>
  <sheetFormatPr defaultColWidth="8.7109375" defaultRowHeight="15" x14ac:dyDescent="0.25"/>
  <cols>
    <col min="1" max="1" width="28" customWidth="1"/>
    <col min="2" max="2" width="62" customWidth="1"/>
  </cols>
  <sheetData>
    <row r="1" spans="1:2" ht="66" customHeight="1" x14ac:dyDescent="0.25">
      <c r="A1" s="95" t="s">
        <v>0</v>
      </c>
      <c r="B1" s="96"/>
    </row>
    <row r="2" spans="1:2" ht="13.5" customHeight="1" x14ac:dyDescent="0.25">
      <c r="A2" s="1"/>
      <c r="B2" s="2"/>
    </row>
    <row r="3" spans="1:2" ht="30" customHeight="1" x14ac:dyDescent="0.25">
      <c r="A3" s="3" t="s">
        <v>1</v>
      </c>
      <c r="B3" s="4" t="s">
        <v>2</v>
      </c>
    </row>
    <row r="4" spans="1:2" ht="50.25" customHeight="1" x14ac:dyDescent="0.25">
      <c r="A4" s="5" t="s">
        <v>3</v>
      </c>
      <c r="B4" s="6" t="s">
        <v>4</v>
      </c>
    </row>
    <row r="5" spans="1:2" ht="30" customHeight="1" x14ac:dyDescent="0.25">
      <c r="A5" s="5" t="s">
        <v>5</v>
      </c>
      <c r="B5" s="6" t="s">
        <v>6</v>
      </c>
    </row>
    <row r="6" spans="1:2" x14ac:dyDescent="0.25">
      <c r="A6" s="11"/>
      <c r="B6" s="6"/>
    </row>
    <row r="7" spans="1:2" ht="24" customHeight="1" x14ac:dyDescent="0.25">
      <c r="A7" s="95" t="s">
        <v>7</v>
      </c>
      <c r="B7" s="96"/>
    </row>
    <row r="8" spans="1:2" ht="39.75" customHeight="1" x14ac:dyDescent="0.25">
      <c r="A8" s="7" t="s">
        <v>8</v>
      </c>
      <c r="B8" s="6" t="s">
        <v>9</v>
      </c>
    </row>
    <row r="9" spans="1:2" ht="21.75" customHeight="1" x14ac:dyDescent="0.25">
      <c r="A9" s="7" t="s">
        <v>10</v>
      </c>
      <c r="B9" s="6" t="s">
        <v>11</v>
      </c>
    </row>
    <row r="10" spans="1:2" ht="21.75" customHeight="1" x14ac:dyDescent="0.25">
      <c r="A10" s="7" t="s">
        <v>12</v>
      </c>
      <c r="B10" s="8" t="s">
        <v>13</v>
      </c>
    </row>
    <row r="11" spans="1:2" ht="39.75" customHeight="1" x14ac:dyDescent="0.25">
      <c r="A11" s="9" t="s">
        <v>14</v>
      </c>
      <c r="B11" s="10" t="s">
        <v>15</v>
      </c>
    </row>
  </sheetData>
  <mergeCells count="2">
    <mergeCell ref="A1:B1"/>
    <mergeCell ref="A7:B7"/>
  </mergeCells>
  <hyperlinks>
    <hyperlink ref="B10" r:id="rId1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zoomScaleNormal="100" workbookViewId="0">
      <selection activeCell="G11" sqref="G11"/>
    </sheetView>
  </sheetViews>
  <sheetFormatPr defaultColWidth="8.7109375" defaultRowHeight="15" x14ac:dyDescent="0.25"/>
  <cols>
    <col min="1" max="1" width="12.85546875" customWidth="1"/>
    <col min="2" max="2" width="44" customWidth="1"/>
    <col min="3" max="3" width="57.28515625" customWidth="1"/>
    <col min="4" max="4" width="11.140625" customWidth="1"/>
  </cols>
  <sheetData>
    <row r="1" spans="1:3" ht="27.75" customHeight="1" x14ac:dyDescent="0.25">
      <c r="A1" s="97" t="s">
        <v>104</v>
      </c>
      <c r="B1" s="98"/>
      <c r="C1" s="99"/>
    </row>
    <row r="2" spans="1:3" ht="19.5" customHeight="1" x14ac:dyDescent="0.25">
      <c r="A2" s="18"/>
      <c r="B2" s="16" t="s">
        <v>16</v>
      </c>
      <c r="C2" s="19" t="s">
        <v>17</v>
      </c>
    </row>
    <row r="3" spans="1:3" ht="19.5" customHeight="1" x14ac:dyDescent="0.25">
      <c r="A3" s="20">
        <v>1</v>
      </c>
      <c r="B3" s="12" t="s">
        <v>18</v>
      </c>
      <c r="C3" s="21" t="s">
        <v>19</v>
      </c>
    </row>
    <row r="4" spans="1:3" ht="19.5" customHeight="1" x14ac:dyDescent="0.25">
      <c r="A4" s="22">
        <v>2</v>
      </c>
      <c r="B4" s="14" t="s">
        <v>20</v>
      </c>
      <c r="C4" s="23" t="s">
        <v>21</v>
      </c>
    </row>
    <row r="5" spans="1:3" ht="19.5" customHeight="1" x14ac:dyDescent="0.25">
      <c r="A5" s="20">
        <v>3</v>
      </c>
      <c r="B5" s="12" t="s">
        <v>22</v>
      </c>
      <c r="C5" s="21" t="s">
        <v>23</v>
      </c>
    </row>
    <row r="6" spans="1:3" ht="19.5" customHeight="1" x14ac:dyDescent="0.25">
      <c r="A6" s="22">
        <v>4</v>
      </c>
      <c r="B6" s="14" t="s">
        <v>24</v>
      </c>
      <c r="C6" s="24" t="s">
        <v>25</v>
      </c>
    </row>
    <row r="7" spans="1:3" ht="19.5" customHeight="1" x14ac:dyDescent="0.25">
      <c r="A7" s="20">
        <v>5</v>
      </c>
      <c r="B7" s="12" t="s">
        <v>26</v>
      </c>
      <c r="C7" s="21" t="s">
        <v>27</v>
      </c>
    </row>
    <row r="8" spans="1:3" ht="19.5" customHeight="1" x14ac:dyDescent="0.25">
      <c r="A8" s="22">
        <v>6</v>
      </c>
      <c r="B8" s="14" t="s">
        <v>28</v>
      </c>
      <c r="C8" s="23" t="s">
        <v>29</v>
      </c>
    </row>
    <row r="9" spans="1:3" ht="19.5" customHeight="1" x14ac:dyDescent="0.25">
      <c r="A9" s="20">
        <v>7</v>
      </c>
      <c r="B9" s="12" t="s">
        <v>30</v>
      </c>
      <c r="C9" s="21" t="s">
        <v>31</v>
      </c>
    </row>
    <row r="10" spans="1:3" ht="19.5" customHeight="1" x14ac:dyDescent="0.25">
      <c r="A10" s="22">
        <v>8</v>
      </c>
      <c r="B10" s="14" t="s">
        <v>32</v>
      </c>
      <c r="C10" s="24" t="s">
        <v>33</v>
      </c>
    </row>
    <row r="11" spans="1:3" ht="19.5" customHeight="1" x14ac:dyDescent="0.25">
      <c r="A11" s="20">
        <v>9</v>
      </c>
      <c r="B11" s="12" t="s">
        <v>34</v>
      </c>
      <c r="C11" s="24" t="s">
        <v>35</v>
      </c>
    </row>
    <row r="12" spans="1:3" ht="19.5" customHeight="1" x14ac:dyDescent="0.25">
      <c r="A12" s="25">
        <v>10</v>
      </c>
      <c r="B12" s="26" t="s">
        <v>36</v>
      </c>
      <c r="C12" s="27" t="s">
        <v>37</v>
      </c>
    </row>
    <row r="13" spans="1:3" ht="19.5" customHeight="1" x14ac:dyDescent="0.25"/>
    <row r="14" spans="1:3" ht="27.75" customHeight="1" x14ac:dyDescent="0.25">
      <c r="A14" s="100" t="s">
        <v>103</v>
      </c>
      <c r="B14" s="101"/>
      <c r="C14" s="102"/>
    </row>
    <row r="15" spans="1:3" x14ac:dyDescent="0.25">
      <c r="A15" s="18" t="s">
        <v>38</v>
      </c>
      <c r="B15" s="16" t="s">
        <v>39</v>
      </c>
      <c r="C15" s="19" t="s">
        <v>40</v>
      </c>
    </row>
    <row r="16" spans="1:3" ht="19.5" customHeight="1" x14ac:dyDescent="0.25">
      <c r="A16" s="28" t="s">
        <v>41</v>
      </c>
      <c r="B16" s="15" t="s">
        <v>42</v>
      </c>
      <c r="C16" s="29" t="s">
        <v>43</v>
      </c>
    </row>
    <row r="17" spans="1:3" ht="19.5" customHeight="1" x14ac:dyDescent="0.25">
      <c r="A17" s="28" t="s">
        <v>44</v>
      </c>
      <c r="B17" s="15" t="s">
        <v>45</v>
      </c>
      <c r="C17" s="29" t="s">
        <v>43</v>
      </c>
    </row>
    <row r="18" spans="1:3" ht="19.5" customHeight="1" x14ac:dyDescent="0.25">
      <c r="A18" s="28" t="s">
        <v>46</v>
      </c>
      <c r="B18" s="15" t="s">
        <v>47</v>
      </c>
      <c r="C18" s="29" t="s">
        <v>48</v>
      </c>
    </row>
    <row r="19" spans="1:3" ht="19.5" customHeight="1" x14ac:dyDescent="0.25">
      <c r="A19" s="30" t="s">
        <v>49</v>
      </c>
      <c r="B19" s="17" t="s">
        <v>50</v>
      </c>
      <c r="C19" s="31" t="s">
        <v>51</v>
      </c>
    </row>
    <row r="20" spans="1:3" ht="19.5" customHeight="1" x14ac:dyDescent="0.25">
      <c r="A20" s="20" t="s">
        <v>52</v>
      </c>
      <c r="B20" s="13" t="s">
        <v>53</v>
      </c>
      <c r="C20" s="32" t="s">
        <v>54</v>
      </c>
    </row>
    <row r="21" spans="1:3" ht="19.5" customHeight="1" x14ac:dyDescent="0.25">
      <c r="A21" s="20" t="s">
        <v>55</v>
      </c>
      <c r="B21" s="13" t="s">
        <v>56</v>
      </c>
      <c r="C21" s="32" t="s">
        <v>57</v>
      </c>
    </row>
    <row r="22" spans="1:3" ht="19.5" customHeight="1" x14ac:dyDescent="0.25">
      <c r="A22" s="33" t="s">
        <v>58</v>
      </c>
      <c r="B22" s="34" t="s">
        <v>59</v>
      </c>
      <c r="C22" s="35" t="s">
        <v>60</v>
      </c>
    </row>
    <row r="23" spans="1:3" ht="19.5" customHeight="1" x14ac:dyDescent="0.25"/>
    <row r="24" spans="1:3" ht="19.5" customHeight="1" x14ac:dyDescent="0.25"/>
    <row r="25" spans="1:3" ht="19.5" customHeight="1" x14ac:dyDescent="0.25"/>
    <row r="26" spans="1:3" ht="19.5" customHeight="1" x14ac:dyDescent="0.25"/>
    <row r="27" spans="1:3" ht="19.5" customHeight="1" x14ac:dyDescent="0.25"/>
    <row r="28" spans="1:3" ht="19.5" customHeight="1" x14ac:dyDescent="0.25"/>
    <row r="29" spans="1:3" ht="19.5" customHeight="1" x14ac:dyDescent="0.25"/>
    <row r="30" spans="1:3" ht="19.5" customHeight="1" x14ac:dyDescent="0.25"/>
    <row r="31" spans="1:3" ht="19.5" customHeight="1" x14ac:dyDescent="0.25"/>
    <row r="32" spans="1:3" ht="19.5" customHeight="1" x14ac:dyDescent="0.25"/>
    <row r="33" ht="19.5" customHeight="1" x14ac:dyDescent="0.25"/>
    <row r="34" ht="19.5" customHeight="1" x14ac:dyDescent="0.25"/>
  </sheetData>
  <mergeCells count="2">
    <mergeCell ref="A1:C1"/>
    <mergeCell ref="A14:C14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8 C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12" zoomScaleNormal="100" workbookViewId="0">
      <selection activeCell="C24" sqref="C24"/>
    </sheetView>
  </sheetViews>
  <sheetFormatPr defaultColWidth="8.7109375" defaultRowHeight="15" x14ac:dyDescent="0.25"/>
  <cols>
    <col min="1" max="1" width="15" customWidth="1"/>
    <col min="2" max="2" width="34.85546875" bestFit="1" customWidth="1"/>
    <col min="3" max="3" width="18" customWidth="1"/>
    <col min="4" max="4" width="29" customWidth="1"/>
    <col min="5" max="5" width="36" customWidth="1"/>
    <col min="6" max="6" width="10.7109375" customWidth="1"/>
    <col min="7" max="7" width="12.28515625" customWidth="1"/>
    <col min="8" max="8" width="9.42578125" customWidth="1"/>
    <col min="9" max="9" width="12" customWidth="1"/>
    <col min="10" max="10" width="10" customWidth="1"/>
  </cols>
  <sheetData>
    <row r="1" spans="1:5" ht="27.75" customHeight="1" x14ac:dyDescent="0.25">
      <c r="A1" s="103" t="s">
        <v>105</v>
      </c>
      <c r="B1" s="104"/>
      <c r="C1" s="105"/>
    </row>
    <row r="2" spans="1:5" ht="19.5" customHeight="1" x14ac:dyDescent="0.25">
      <c r="A2" s="45"/>
      <c r="B2" s="40" t="s">
        <v>85</v>
      </c>
      <c r="C2" s="46" t="s">
        <v>17</v>
      </c>
    </row>
    <row r="3" spans="1:5" ht="19.5" customHeight="1" x14ac:dyDescent="0.25">
      <c r="A3" s="47">
        <v>1</v>
      </c>
      <c r="B3" s="37" t="s">
        <v>64</v>
      </c>
      <c r="C3" s="48" t="s">
        <v>65</v>
      </c>
    </row>
    <row r="4" spans="1:5" ht="19.5" customHeight="1" x14ac:dyDescent="0.25">
      <c r="A4" s="49">
        <v>2</v>
      </c>
      <c r="B4" s="39" t="s">
        <v>66</v>
      </c>
      <c r="C4" s="50" t="s">
        <v>67</v>
      </c>
    </row>
    <row r="5" spans="1:5" ht="19.5" customHeight="1" x14ac:dyDescent="0.25">
      <c r="A5" s="47">
        <v>3</v>
      </c>
      <c r="B5" s="37" t="s">
        <v>68</v>
      </c>
      <c r="C5" s="48" t="s">
        <v>29</v>
      </c>
    </row>
    <row r="6" spans="1:5" ht="19.5" customHeight="1" x14ac:dyDescent="0.25">
      <c r="A6" s="49">
        <v>4</v>
      </c>
      <c r="B6" s="39" t="s">
        <v>32</v>
      </c>
      <c r="C6" s="48" t="s">
        <v>69</v>
      </c>
    </row>
    <row r="7" spans="1:5" ht="19.5" customHeight="1" x14ac:dyDescent="0.25">
      <c r="A7" s="47">
        <v>5</v>
      </c>
      <c r="B7" s="37" t="s">
        <v>34</v>
      </c>
      <c r="C7" s="48" t="s">
        <v>70</v>
      </c>
    </row>
    <row r="8" spans="1:5" ht="19.5" customHeight="1" x14ac:dyDescent="0.25">
      <c r="A8" s="51">
        <v>6</v>
      </c>
      <c r="B8" s="52" t="s">
        <v>36</v>
      </c>
      <c r="C8" s="53" t="s">
        <v>37</v>
      </c>
    </row>
    <row r="9" spans="1:5" ht="19.5" customHeight="1" x14ac:dyDescent="0.25"/>
    <row r="10" spans="1:5" ht="27.75" customHeight="1" x14ac:dyDescent="0.25">
      <c r="A10" s="100" t="s">
        <v>106</v>
      </c>
      <c r="B10" s="101"/>
      <c r="C10" s="101"/>
      <c r="D10" s="101"/>
      <c r="E10" s="102"/>
    </row>
    <row r="11" spans="1:5" ht="19.5" customHeight="1" x14ac:dyDescent="0.25">
      <c r="A11" s="45" t="s">
        <v>38</v>
      </c>
      <c r="B11" s="40" t="s">
        <v>39</v>
      </c>
      <c r="C11" s="40" t="s">
        <v>61</v>
      </c>
      <c r="D11" s="40" t="s">
        <v>62</v>
      </c>
      <c r="E11" s="46" t="s">
        <v>63</v>
      </c>
    </row>
    <row r="12" spans="1:5" ht="19.5" customHeight="1" x14ac:dyDescent="0.25">
      <c r="A12" s="54" t="s">
        <v>41</v>
      </c>
      <c r="B12" s="41" t="s">
        <v>71</v>
      </c>
      <c r="C12" s="41">
        <v>45</v>
      </c>
      <c r="D12" s="42">
        <v>10000</v>
      </c>
      <c r="E12" s="55" t="s">
        <v>72</v>
      </c>
    </row>
    <row r="13" spans="1:5" ht="19.5" customHeight="1" x14ac:dyDescent="0.25">
      <c r="A13" s="54" t="s">
        <v>44</v>
      </c>
      <c r="B13" s="41" t="s">
        <v>73</v>
      </c>
      <c r="C13" s="41">
        <v>46</v>
      </c>
      <c r="D13" s="42">
        <v>12000</v>
      </c>
      <c r="E13" s="55" t="s">
        <v>74</v>
      </c>
    </row>
    <row r="14" spans="1:5" ht="19.5" customHeight="1" x14ac:dyDescent="0.25">
      <c r="A14" s="54" t="s">
        <v>46</v>
      </c>
      <c r="B14" s="41" t="s">
        <v>75</v>
      </c>
      <c r="C14" s="41">
        <v>45</v>
      </c>
      <c r="D14" s="42">
        <v>9500</v>
      </c>
      <c r="E14" s="55" t="s">
        <v>74</v>
      </c>
    </row>
    <row r="15" spans="1:5" ht="19.5" customHeight="1" x14ac:dyDescent="0.25">
      <c r="A15" s="85" t="s">
        <v>49</v>
      </c>
      <c r="B15" s="86" t="s">
        <v>76</v>
      </c>
      <c r="C15" s="87">
        <v>65</v>
      </c>
      <c r="D15" s="88">
        <v>180000</v>
      </c>
      <c r="E15" s="89" t="s">
        <v>77</v>
      </c>
    </row>
    <row r="16" spans="1:5" ht="19.5" customHeight="1" x14ac:dyDescent="0.25">
      <c r="A16" s="90" t="s">
        <v>52</v>
      </c>
      <c r="B16" s="91" t="s">
        <v>78</v>
      </c>
      <c r="C16" s="92">
        <v>80</v>
      </c>
      <c r="D16" s="93">
        <v>250000</v>
      </c>
      <c r="E16" s="94" t="s">
        <v>79</v>
      </c>
    </row>
    <row r="17" spans="1:5" ht="19.5" customHeight="1" x14ac:dyDescent="0.25">
      <c r="A17" s="90" t="s">
        <v>55</v>
      </c>
      <c r="B17" s="91" t="s">
        <v>80</v>
      </c>
      <c r="C17" s="92">
        <v>52</v>
      </c>
      <c r="D17" s="93">
        <v>310000</v>
      </c>
      <c r="E17" s="94" t="s">
        <v>81</v>
      </c>
    </row>
    <row r="18" spans="1:5" ht="19.5" customHeight="1" x14ac:dyDescent="0.25">
      <c r="A18" s="57" t="s">
        <v>58</v>
      </c>
      <c r="B18" s="58" t="s">
        <v>82</v>
      </c>
      <c r="C18" s="58">
        <v>30</v>
      </c>
      <c r="D18" s="59">
        <v>45000</v>
      </c>
      <c r="E18" s="60" t="s">
        <v>83</v>
      </c>
    </row>
    <row r="19" spans="1:5" ht="19.5" customHeight="1" x14ac:dyDescent="0.25"/>
    <row r="20" spans="1:5" ht="27.75" customHeight="1" x14ac:dyDescent="0.25">
      <c r="A20" s="100" t="s">
        <v>84</v>
      </c>
      <c r="B20" s="101"/>
      <c r="C20" s="102"/>
    </row>
    <row r="21" spans="1:5" ht="19.5" customHeight="1" x14ac:dyDescent="0.25">
      <c r="A21" s="61" t="s">
        <v>86</v>
      </c>
      <c r="B21" s="38"/>
      <c r="C21" s="50">
        <f>AVERAGE(D12:D14)</f>
        <v>10500</v>
      </c>
    </row>
    <row r="22" spans="1:5" ht="21.75" customHeight="1" x14ac:dyDescent="0.25">
      <c r="A22" s="62" t="s">
        <v>87</v>
      </c>
      <c r="B22" s="36"/>
      <c r="C22" s="48">
        <f>MAX(D15:D18)</f>
        <v>310000</v>
      </c>
    </row>
    <row r="23" spans="1:5" ht="21.75" customHeight="1" x14ac:dyDescent="0.25">
      <c r="A23" s="61" t="s">
        <v>88</v>
      </c>
      <c r="B23" s="36"/>
      <c r="C23" s="63">
        <f>(C22-C21)/C21</f>
        <v>28.523809523809526</v>
      </c>
    </row>
    <row r="24" spans="1:5" ht="21.75" customHeight="1" x14ac:dyDescent="0.25">
      <c r="A24" s="62" t="s">
        <v>89</v>
      </c>
      <c r="B24" s="36"/>
      <c r="C24" s="64">
        <f>(C16-C18)/C16</f>
        <v>0.625</v>
      </c>
    </row>
    <row r="25" spans="1:5" ht="21.75" customHeight="1" x14ac:dyDescent="0.25">
      <c r="A25" s="61"/>
      <c r="B25" s="43" t="s">
        <v>107</v>
      </c>
      <c r="C25" s="2"/>
    </row>
    <row r="26" spans="1:5" ht="19.5" customHeight="1" x14ac:dyDescent="0.25">
      <c r="A26" s="65"/>
      <c r="B26" s="66" t="s">
        <v>108</v>
      </c>
      <c r="C26" s="67"/>
    </row>
    <row r="27" spans="1:5" ht="21" customHeight="1" x14ac:dyDescent="0.25"/>
    <row r="28" spans="1:5" ht="27.75" customHeight="1" x14ac:dyDescent="0.25"/>
    <row r="29" spans="1:5" ht="19.5" customHeight="1" x14ac:dyDescent="0.25"/>
    <row r="30" spans="1:5" ht="21.75" customHeight="1" x14ac:dyDescent="0.25"/>
    <row r="31" spans="1:5" ht="21.75" customHeight="1" x14ac:dyDescent="0.25"/>
    <row r="32" spans="1:5" ht="21.75" customHeight="1" x14ac:dyDescent="0.25"/>
    <row r="33" ht="21.75" customHeight="1" x14ac:dyDescent="0.25"/>
    <row r="34" ht="21.75" customHeight="1" x14ac:dyDescent="0.25"/>
    <row r="35" ht="21.75" customHeight="1" x14ac:dyDescent="0.25"/>
  </sheetData>
  <mergeCells count="3">
    <mergeCell ref="A10:E10"/>
    <mergeCell ref="A20:C20"/>
    <mergeCell ref="A1:C1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4:C5 C8" numberStoredAsText="1"/>
    <ignoredError sqref="C21:C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G6" sqref="G6"/>
    </sheetView>
  </sheetViews>
  <sheetFormatPr defaultRowHeight="15" x14ac:dyDescent="0.25"/>
  <cols>
    <col min="1" max="1" width="22.85546875" bestFit="1" customWidth="1"/>
    <col min="2" max="2" width="21.7109375" customWidth="1"/>
    <col min="3" max="3" width="41.85546875" bestFit="1" customWidth="1"/>
  </cols>
  <sheetData>
    <row r="1" spans="1:3" ht="25.5" customHeight="1" x14ac:dyDescent="0.25">
      <c r="A1" s="100" t="s">
        <v>128</v>
      </c>
      <c r="B1" s="101"/>
      <c r="C1" s="102"/>
    </row>
    <row r="2" spans="1:3" ht="24" customHeight="1" x14ac:dyDescent="0.25">
      <c r="A2" s="72" t="s">
        <v>85</v>
      </c>
      <c r="B2" s="71" t="s">
        <v>17</v>
      </c>
      <c r="C2" s="73" t="s">
        <v>90</v>
      </c>
    </row>
    <row r="3" spans="1:3" ht="21" customHeight="1" x14ac:dyDescent="0.25">
      <c r="A3" s="74" t="s">
        <v>91</v>
      </c>
      <c r="B3" s="68">
        <f>Calculations!C21</f>
        <v>10500</v>
      </c>
      <c r="C3" s="75" t="s">
        <v>92</v>
      </c>
    </row>
    <row r="4" spans="1:3" ht="23.25" customHeight="1" x14ac:dyDescent="0.25">
      <c r="A4" s="74" t="s">
        <v>93</v>
      </c>
      <c r="B4" s="68">
        <f>Calculations!C22</f>
        <v>310000</v>
      </c>
      <c r="C4" s="75" t="s">
        <v>94</v>
      </c>
    </row>
    <row r="5" spans="1:3" ht="21" customHeight="1" x14ac:dyDescent="0.25">
      <c r="A5" s="74" t="s">
        <v>95</v>
      </c>
      <c r="B5" s="69">
        <f>(MAX(Calculations!D15:D18)-AVERAGE(Calculations!D12:D14))/AVERAGE(Calculations!D12:D14)</f>
        <v>28.523809523809526</v>
      </c>
      <c r="C5" s="75" t="s">
        <v>96</v>
      </c>
    </row>
    <row r="6" spans="1:3" ht="20.25" customHeight="1" x14ac:dyDescent="0.25">
      <c r="A6" s="74" t="s">
        <v>97</v>
      </c>
      <c r="B6" s="70">
        <f>Calculations!C16</f>
        <v>80</v>
      </c>
      <c r="C6" s="75" t="s">
        <v>98</v>
      </c>
    </row>
    <row r="7" spans="1:3" ht="22.5" customHeight="1" x14ac:dyDescent="0.25">
      <c r="A7" s="74" t="s">
        <v>99</v>
      </c>
      <c r="B7" s="70">
        <f>Calculations!C18</f>
        <v>30</v>
      </c>
      <c r="C7" s="75" t="s">
        <v>100</v>
      </c>
    </row>
    <row r="8" spans="1:3" ht="18.75" customHeight="1" x14ac:dyDescent="0.25">
      <c r="A8" s="76" t="s">
        <v>101</v>
      </c>
      <c r="B8" s="77">
        <f>(Calculations!C16-Calculations!C18)/Calculations!C16</f>
        <v>0.625</v>
      </c>
      <c r="C8" s="78" t="s">
        <v>102</v>
      </c>
    </row>
    <row r="24" spans="1:2" x14ac:dyDescent="0.25">
      <c r="A24" s="79" t="s">
        <v>111</v>
      </c>
    </row>
    <row r="25" spans="1:2" x14ac:dyDescent="0.25">
      <c r="A25" s="45" t="s">
        <v>109</v>
      </c>
      <c r="B25" s="40" t="s">
        <v>61</v>
      </c>
    </row>
    <row r="26" spans="1:2" x14ac:dyDescent="0.25">
      <c r="A26" s="54" t="s">
        <v>113</v>
      </c>
      <c r="B26" s="41">
        <v>45</v>
      </c>
    </row>
    <row r="27" spans="1:2" x14ac:dyDescent="0.25">
      <c r="A27" s="56" t="s">
        <v>112</v>
      </c>
      <c r="B27" s="44">
        <v>80</v>
      </c>
    </row>
    <row r="28" spans="1:2" x14ac:dyDescent="0.25">
      <c r="A28" s="57" t="s">
        <v>110</v>
      </c>
      <c r="B28" s="58">
        <v>30</v>
      </c>
    </row>
    <row r="29" spans="1:2" x14ac:dyDescent="0.25">
      <c r="A29" t="s">
        <v>114</v>
      </c>
    </row>
    <row r="31" spans="1:2" x14ac:dyDescent="0.25">
      <c r="A31" s="79" t="s">
        <v>120</v>
      </c>
    </row>
    <row r="32" spans="1:2" x14ac:dyDescent="0.25">
      <c r="A32" s="80" t="s">
        <v>115</v>
      </c>
      <c r="B32" s="81" t="s">
        <v>116</v>
      </c>
    </row>
    <row r="33" spans="1:2" x14ac:dyDescent="0.25">
      <c r="A33" s="82" t="s">
        <v>117</v>
      </c>
      <c r="B33" s="83">
        <v>0.7</v>
      </c>
    </row>
    <row r="34" spans="1:2" x14ac:dyDescent="0.25">
      <c r="A34" s="82" t="s">
        <v>118</v>
      </c>
      <c r="B34" s="83">
        <v>0.2</v>
      </c>
    </row>
    <row r="35" spans="1:2" x14ac:dyDescent="0.25">
      <c r="A35" s="82" t="s">
        <v>119</v>
      </c>
      <c r="B35" s="83">
        <v>0.1</v>
      </c>
    </row>
    <row r="37" spans="1:2" x14ac:dyDescent="0.25">
      <c r="A37" s="79" t="s">
        <v>127</v>
      </c>
    </row>
    <row r="38" spans="1:2" x14ac:dyDescent="0.25">
      <c r="A38" s="80" t="s">
        <v>121</v>
      </c>
      <c r="B38" s="81" t="s">
        <v>122</v>
      </c>
    </row>
    <row r="39" spans="1:2" x14ac:dyDescent="0.25">
      <c r="A39" s="82" t="s">
        <v>74</v>
      </c>
      <c r="B39" s="84">
        <v>10500</v>
      </c>
    </row>
    <row r="40" spans="1:2" x14ac:dyDescent="0.25">
      <c r="A40" s="82" t="s">
        <v>123</v>
      </c>
      <c r="B40" s="84">
        <v>180000</v>
      </c>
    </row>
    <row r="41" spans="1:2" x14ac:dyDescent="0.25">
      <c r="A41" s="82" t="s">
        <v>124</v>
      </c>
      <c r="B41" s="84">
        <v>250000</v>
      </c>
    </row>
    <row r="42" spans="1:2" x14ac:dyDescent="0.25">
      <c r="A42" s="82" t="s">
        <v>125</v>
      </c>
      <c r="B42" s="84">
        <v>310000</v>
      </c>
    </row>
    <row r="43" spans="1:2" x14ac:dyDescent="0.25">
      <c r="A43" s="82" t="s">
        <v>126</v>
      </c>
      <c r="B43" s="84">
        <v>45000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>
      <selection activeCell="W24" sqref="W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Data Tables</vt:lpstr>
      <vt:lpstr>Calculations</vt:lpstr>
      <vt:lpstr>Result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2026-06-07T17:33:28Z</dcterms:created>
  <dcterms:modified xsi:type="dcterms:W3CDTF">2026-06-11T07:17:41Z</dcterms:modified>
  <dc:language>en-US</dc:language>
</cp:coreProperties>
</file>